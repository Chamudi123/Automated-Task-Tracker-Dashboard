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ta.analysis_fitsex\Documents\Chamudi Private\learn\Excel\Excel automation projects\Task Tracker with Progress Dashboard\"/>
    </mc:Choice>
  </mc:AlternateContent>
  <xr:revisionPtr revIDLastSave="0" documentId="13_ncr:1_{74EA6870-E215-47BD-92F6-6015CA36116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UserForm" sheetId="3" r:id="rId1"/>
    <sheet name="TaskList" sheetId="4" r:id="rId2"/>
    <sheet name="Dashboard" sheetId="5" r:id="rId3"/>
  </sheets>
  <definedNames>
    <definedName name="_xlnm._FilterDatabase" localSheetId="1" hidden="1">TaskList!$A$1:$G$9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5" l="1" a="1"/>
  <c r="A11" i="5" s="1"/>
  <c r="F5" i="5"/>
  <c r="E5" i="5"/>
  <c r="D5" i="5"/>
  <c r="C5" i="5"/>
  <c r="B5" i="5"/>
  <c r="A5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<sst xmlns="http://schemas.openxmlformats.org/spreadsheetml/2006/main" count="71" uniqueCount="46">
  <si>
    <t>Task Name</t>
  </si>
  <si>
    <t>Description</t>
  </si>
  <si>
    <t>Priority</t>
  </si>
  <si>
    <t>Status</t>
  </si>
  <si>
    <t>Assigned to</t>
  </si>
  <si>
    <t>Start Date</t>
  </si>
  <si>
    <t>Due Date</t>
  </si>
  <si>
    <t>Design Login Page</t>
  </si>
  <si>
    <t>Create UI for the login screen</t>
  </si>
  <si>
    <t>High</t>
  </si>
  <si>
    <t>In Progress</t>
  </si>
  <si>
    <t>Chamudi</t>
  </si>
  <si>
    <t>Fix Login Bug</t>
  </si>
  <si>
    <t>Resolve credential mismatch issue</t>
  </si>
  <si>
    <t>Medium</t>
  </si>
  <si>
    <t>Not Started</t>
  </si>
  <si>
    <t>Navoda</t>
  </si>
  <si>
    <t>Finalize Color Theme</t>
  </si>
  <si>
    <t>Choose and apply brand colors</t>
  </si>
  <si>
    <t>Low</t>
  </si>
  <si>
    <t>Completed</t>
  </si>
  <si>
    <t>Setup Database</t>
  </si>
  <si>
    <t>Create tables for user management</t>
  </si>
  <si>
    <t>Kasun</t>
  </si>
  <si>
    <t>Write SOP Doc</t>
  </si>
  <si>
    <t>Draft SOP for onboarding developers</t>
  </si>
  <si>
    <t>Anuki</t>
  </si>
  <si>
    <t>Create API Endpoints</t>
  </si>
  <si>
    <t>Set up APIs for login and registration</t>
  </si>
  <si>
    <t>Dilini</t>
  </si>
  <si>
    <t>Update Readme File</t>
  </si>
  <si>
    <t>Document project setup and usage steps</t>
  </si>
  <si>
    <t>Test UI Components</t>
  </si>
  <si>
    <t>Perform testing for all frontend components</t>
  </si>
  <si>
    <t>Madusha</t>
  </si>
  <si>
    <t>Total Tasks</t>
  </si>
  <si>
    <t>Overdue Tasks</t>
  </si>
  <si>
    <t>Completed Tasks</t>
  </si>
  <si>
    <t>Due Today &amp; Not Completed</t>
  </si>
  <si>
    <t>Create user profile page</t>
  </si>
  <si>
    <t>Design and develop the user profile page where users can update their personal information.</t>
  </si>
  <si>
    <t>Haritha</t>
  </si>
  <si>
    <t>Implement payment gateway</t>
  </si>
  <si>
    <t>Integrate a payment gateway for processing transactions.</t>
  </si>
  <si>
    <t>Upcoming Deadlines</t>
  </si>
  <si>
    <t>PROGRESS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</si>
</sst>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0" fillId="0" borderId="1" xfId="0" applyBorder="1"/>
    <xf numFmtId="14" fontId="0" fillId="0" borderId="1" xfId="0" applyNumberFormat="1" applyBorder="1"/>
    <xf numFmtId="14" fontId="0" fillId="0" borderId="1" xfId="0" applyNumberFormat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12700</xdr:rowOff>
        </xdr:from>
        <xdr:to>
          <xdr:col>6</xdr:col>
          <xdr:colOff>19050</xdr:colOff>
          <xdr:row>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Open the Task Form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104EA-43EC-4575-B5D0-98FA636635D6}">
  <sheetPr codeName="Sheet3"/>
  <dimension ref="A1"/>
  <sheetViews>
    <sheetView tabSelected="1" workbookViewId="0">
      <selection activeCell="G2" sqref="G2"/>
    </sheetView>
  </sheetViews>
  <sheetFormatPr defaultRowHeight="14.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InventoryForm">
                <anchor moveWithCells="1" sizeWithCells="1">
                  <from>
                    <xdr:col>2</xdr:col>
                    <xdr:colOff>603250</xdr:colOff>
                    <xdr:row>1</xdr:row>
                    <xdr:rowOff>12700</xdr:rowOff>
                  </from>
                  <to>
                    <xdr:col>6</xdr:col>
                    <xdr:colOff>19050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EFD09-95CF-4983-9805-F02D9C7E89B8}">
  <sheetPr codeName="Sheet1"/>
  <dimension ref="A1:G11"/>
  <sheetViews>
    <sheetView workbookViewId="0">
      <selection activeCell="B4" sqref="B4"/>
    </sheetView>
  </sheetViews>
  <sheetFormatPr defaultRowHeight="14.5"/>
  <cols>
    <col min="1" max="1" width="25.453125" bestFit="1" customWidth="1"/>
    <col min="2" max="2" width="79.6328125" bestFit="1" customWidth="1"/>
    <col min="3" max="3" width="7.81640625" bestFit="1" customWidth="1"/>
    <col min="4" max="4" width="10.26953125" bestFit="1" customWidth="1"/>
    <col min="5" max="5" width="10.36328125" bestFit="1" customWidth="1"/>
    <col min="6" max="7" width="9.453125" style="1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s="1" t="s">
        <v>6</v>
      </c>
    </row>
    <row r="2" spans="1:7">
      <c r="A2" t="s">
        <v>7</v>
      </c>
      <c r="B2" t="s">
        <v>8</v>
      </c>
      <c r="C2" t="s">
        <v>9</v>
      </c>
      <c r="D2" t="s">
        <v>10</v>
      </c>
      <c r="E2" t="s">
        <v>11</v>
      </c>
      <c r="F2" s="1">
        <v>45767</v>
      </c>
      <c r="G2" s="1">
        <v>45802</v>
      </c>
    </row>
    <row r="3" spans="1:7">
      <c r="A3" t="s">
        <v>12</v>
      </c>
      <c r="B3" t="s">
        <v>13</v>
      </c>
      <c r="C3" t="s">
        <v>14</v>
      </c>
      <c r="D3" t="s">
        <v>15</v>
      </c>
      <c r="E3" t="s">
        <v>16</v>
      </c>
      <c r="F3" s="1">
        <v>45768</v>
      </c>
      <c r="G3" s="1">
        <v>45770</v>
      </c>
    </row>
    <row r="4" spans="1:7">
      <c r="A4" t="s">
        <v>17</v>
      </c>
      <c r="B4" t="s">
        <v>18</v>
      </c>
      <c r="C4" t="s">
        <v>19</v>
      </c>
      <c r="D4" t="s">
        <v>20</v>
      </c>
      <c r="E4" t="s">
        <v>11</v>
      </c>
      <c r="F4" s="1">
        <v>45757</v>
      </c>
      <c r="G4" s="1">
        <v>45802</v>
      </c>
    </row>
    <row r="5" spans="1:7">
      <c r="A5" t="s">
        <v>21</v>
      </c>
      <c r="B5" t="s">
        <v>22</v>
      </c>
      <c r="C5" t="s">
        <v>9</v>
      </c>
      <c r="D5" t="s">
        <v>10</v>
      </c>
      <c r="E5" t="s">
        <v>23</v>
      </c>
      <c r="F5" s="1">
        <v>45766</v>
      </c>
      <c r="G5" s="1">
        <v>45801</v>
      </c>
    </row>
    <row r="6" spans="1:7">
      <c r="A6" t="s">
        <v>24</v>
      </c>
      <c r="B6" t="s">
        <v>25</v>
      </c>
      <c r="C6" t="s">
        <v>14</v>
      </c>
      <c r="D6" t="s">
        <v>15</v>
      </c>
      <c r="E6" t="s">
        <v>26</v>
      </c>
      <c r="F6" s="1">
        <v>45769</v>
      </c>
      <c r="G6" s="1">
        <v>45774</v>
      </c>
    </row>
    <row r="7" spans="1:7">
      <c r="A7" t="s">
        <v>27</v>
      </c>
      <c r="B7" t="s">
        <v>28</v>
      </c>
      <c r="C7" t="s">
        <v>9</v>
      </c>
      <c r="D7" t="s">
        <v>15</v>
      </c>
      <c r="E7" t="s">
        <v>29</v>
      </c>
      <c r="F7" s="1">
        <v>45768</v>
      </c>
      <c r="G7" s="1">
        <v>45803</v>
      </c>
    </row>
    <row r="8" spans="1:7">
      <c r="A8" t="s">
        <v>30</v>
      </c>
      <c r="B8" t="s">
        <v>31</v>
      </c>
      <c r="C8" t="s">
        <v>19</v>
      </c>
      <c r="D8" t="s">
        <v>20</v>
      </c>
      <c r="E8" t="s">
        <v>11</v>
      </c>
      <c r="F8" s="1">
        <v>45759</v>
      </c>
      <c r="G8" s="1">
        <v>45760</v>
      </c>
    </row>
    <row r="9" spans="1:7">
      <c r="A9" t="s">
        <v>32</v>
      </c>
      <c r="B9" t="s">
        <v>33</v>
      </c>
      <c r="C9" t="s">
        <v>14</v>
      </c>
      <c r="D9" t="s">
        <v>10</v>
      </c>
      <c r="E9" t="s">
        <v>34</v>
      </c>
      <c r="F9" s="1">
        <v>45767</v>
      </c>
      <c r="G9" s="1">
        <v>45770</v>
      </c>
    </row>
    <row r="10" spans="1:7">
      <c r="A10" t="s">
        <v>39</v>
      </c>
      <c r="B10" t="s">
        <v>40</v>
      </c>
      <c r="C10" t="s">
        <v>9</v>
      </c>
      <c r="D10" t="s">
        <v>15</v>
      </c>
      <c r="E10" t="s">
        <v>41</v>
      </c>
      <c r="F10" s="1">
        <v>45771</v>
      </c>
      <c r="G10" s="1">
        <v>45806</v>
      </c>
    </row>
    <row r="11" spans="1:7">
      <c r="A11" t="s">
        <v>42</v>
      </c>
      <c r="B11" t="s">
        <v>43</v>
      </c>
      <c r="C11" t="s">
        <v>9</v>
      </c>
      <c r="D11" t="s">
        <v>15</v>
      </c>
      <c r="E11" t="s">
        <v>41</v>
      </c>
      <c r="F11" s="1">
        <v>45771</v>
      </c>
      <c r="G11" s="1">
        <v>45807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4788-73E0-49DC-AF59-1B2F57E0F43F}">
  <dimension ref="A1:I15"/>
  <sheetViews>
    <sheetView showGridLines="0" workbookViewId="0">
      <selection activeCell="D7" sqref="D7"/>
    </sheetView>
  </sheetViews>
  <sheetFormatPr defaultColWidth="18.6328125" defaultRowHeight="14.5"/>
  <cols>
    <col min="1" max="1" width="19.1796875" customWidth="1"/>
  </cols>
  <sheetData>
    <row r="1" spans="1:9" ht="31" customHeight="1">
      <c r="A1" s="17" t="s">
        <v>45</v>
      </c>
      <c r="B1" s="17"/>
      <c r="C1" s="17"/>
      <c r="D1" s="17"/>
      <c r="E1" s="17"/>
      <c r="F1" s="17"/>
    </row>
    <row r="2" spans="1:9" s="9" customFormat="1" ht="14" customHeight="1">
      <c r="A2"/>
      <c r="B2"/>
      <c r="C2"/>
      <c r="D2"/>
      <c r="E2"/>
      <c r="F2"/>
      <c r="G2"/>
      <c r="H2"/>
    </row>
    <row r="4" spans="1:9" ht="29">
      <c r="A4" s="5" t="s">
        <v>35</v>
      </c>
      <c r="B4" s="7" t="s">
        <v>37</v>
      </c>
      <c r="C4" s="5" t="s">
        <v>10</v>
      </c>
      <c r="D4" s="7" t="s">
        <v>15</v>
      </c>
      <c r="E4" s="5" t="s">
        <v>36</v>
      </c>
      <c r="F4" s="7" t="s">
        <v>38</v>
      </c>
      <c r="G4" s="2"/>
      <c r="H4" s="2"/>
      <c r="I4" s="2"/>
    </row>
    <row r="5" spans="1:9">
      <c r="A5" s="6">
        <f>COUNTA(TaskList!A:A)</f>
        <v>11</v>
      </c>
      <c r="B5" s="8">
        <f>COUNTIF(TaskList!D:D, "Completed")</f>
        <v>2</v>
      </c>
      <c r="C5" s="6">
        <f>COUNTIF(TaskList!D:D, "In Progress")</f>
        <v>3</v>
      </c>
      <c r="D5" s="8">
        <f>COUNTIF(TaskList!D:D, "Not Started")</f>
        <v>5</v>
      </c>
      <c r="E5" s="5">
        <f ca="1">COUNTIFS(TaskList!G:G, "&lt;" &amp; TODAY(), TaskList!D:D, "&lt;&gt;Completed")</f>
        <v>8</v>
      </c>
      <c r="F5" s="7">
        <f ca="1">COUNTIFS(TaskList!G:G, TODAY(), TaskList!D:D, "&lt;&gt;Completed")</f>
        <v>0</v>
      </c>
      <c r="G5" s="3"/>
      <c r="H5" s="3"/>
      <c r="I5" s="3"/>
    </row>
    <row r="6" spans="1:9">
      <c r="E6" s="3"/>
      <c r="F6" s="3"/>
      <c r="G6" s="3"/>
      <c r="H6" s="3"/>
      <c r="I6" s="3"/>
    </row>
    <row r="7" spans="1:9">
      <c r="E7" s="3"/>
      <c r="F7" s="3"/>
      <c r="G7" s="3"/>
      <c r="H7" s="3"/>
      <c r="I7" s="3"/>
    </row>
    <row r="8" spans="1:9" ht="26.5" customHeight="1">
      <c r="A8" s="16" t="s">
        <v>44</v>
      </c>
      <c r="B8" s="16"/>
      <c r="C8" s="16"/>
      <c r="D8" s="16"/>
      <c r="E8" s="16"/>
      <c r="F8" s="16"/>
      <c r="G8" s="3"/>
      <c r="H8" s="3"/>
      <c r="I8" s="3"/>
    </row>
    <row r="9" spans="1:9">
      <c r="G9" s="4"/>
      <c r="H9" s="4"/>
      <c r="I9" s="4"/>
    </row>
    <row r="10" spans="1:9" s="15" customFormat="1" ht="22" customHeight="1">
      <c r="A10" s="13" t="s">
        <v>0</v>
      </c>
      <c r="B10" s="13" t="s">
        <v>2</v>
      </c>
      <c r="C10" s="13" t="s">
        <v>3</v>
      </c>
      <c r="D10" s="13" t="s">
        <v>4</v>
      </c>
      <c r="E10" s="14" t="s">
        <v>5</v>
      </c>
      <c r="F10" s="14" t="s">
        <v>6</v>
      </c>
      <c r="G10" s="2"/>
      <c r="H10" s="2"/>
      <c r="I10" s="2"/>
    </row>
    <row r="11" spans="1:9">
      <c r="A11" s="10" t="e" cm="1" vm="1">
        <f t="array" aca="1" ref="A11:F15" ca="1">INDEX(_xlfn._xlws.SORT(_xlfn._xlws.FILTER(TaskList!A2:G1048576, (TaskList!G2:G1048576&gt;TODAY())*(TaskList!D2:D1048576&lt;&gt;"Completed")), 7, TRUE), _xlfn.SEQUENCE(5), {1,3,4,5,6,7})</f>
        <v>#VALUE!</v>
      </c>
      <c r="B11" s="10" t="e" vm="1">
        <f ca="1"/>
        <v>#VALUE!</v>
      </c>
      <c r="C11" s="10" t="e" vm="1">
        <f ca="1"/>
        <v>#VALUE!</v>
      </c>
      <c r="D11" s="10" t="e" vm="1">
        <f ca="1"/>
        <v>#VALUE!</v>
      </c>
      <c r="E11" s="12" t="e" vm="1">
        <f ca="1"/>
        <v>#VALUE!</v>
      </c>
      <c r="F11" s="12" t="e" vm="1">
        <f ca="1"/>
        <v>#VALUE!</v>
      </c>
      <c r="G11" s="3"/>
      <c r="H11" s="3"/>
      <c r="I11" s="3"/>
    </row>
    <row r="12" spans="1:9">
      <c r="A12" s="10" t="e" vm="1">
        <f ca="1"/>
        <v>#VALUE!</v>
      </c>
      <c r="B12" s="10" t="e" vm="1">
        <f ca="1"/>
        <v>#VALUE!</v>
      </c>
      <c r="C12" s="10" t="e" vm="1">
        <f ca="1"/>
        <v>#VALUE!</v>
      </c>
      <c r="D12" s="10" t="e" vm="1">
        <f ca="1"/>
        <v>#VALUE!</v>
      </c>
      <c r="E12" s="12" t="e" vm="1">
        <f ca="1"/>
        <v>#VALUE!</v>
      </c>
      <c r="F12" s="12" t="e" vm="1">
        <f ca="1"/>
        <v>#VALUE!</v>
      </c>
      <c r="G12" s="3"/>
      <c r="H12" s="3"/>
      <c r="I12" s="3"/>
    </row>
    <row r="13" spans="1:9">
      <c r="A13" s="10" t="e" vm="1">
        <f ca="1"/>
        <v>#VALUE!</v>
      </c>
      <c r="B13" s="10" t="e" vm="1">
        <f ca="1"/>
        <v>#VALUE!</v>
      </c>
      <c r="C13" s="10" t="e" vm="1">
        <f ca="1"/>
        <v>#VALUE!</v>
      </c>
      <c r="D13" s="10" t="e" vm="1">
        <f ca="1"/>
        <v>#VALUE!</v>
      </c>
      <c r="E13" s="12" t="e" vm="1">
        <f ca="1"/>
        <v>#VALUE!</v>
      </c>
      <c r="F13" s="12" t="e" vm="1">
        <f ca="1"/>
        <v>#VALUE!</v>
      </c>
      <c r="G13" s="3"/>
      <c r="H13" s="3"/>
      <c r="I13" s="3"/>
    </row>
    <row r="14" spans="1:9">
      <c r="A14" s="10" t="e" vm="1">
        <f ca="1"/>
        <v>#VALUE!</v>
      </c>
      <c r="B14" s="10" t="e" vm="1">
        <f ca="1"/>
        <v>#VALUE!</v>
      </c>
      <c r="C14" s="10" t="e" vm="1">
        <f ca="1"/>
        <v>#VALUE!</v>
      </c>
      <c r="D14" s="10" t="e" vm="1">
        <f ca="1"/>
        <v>#VALUE!</v>
      </c>
      <c r="E14" s="11" t="e" vm="1">
        <f ca="1"/>
        <v>#VALUE!</v>
      </c>
      <c r="F14" s="11" t="e" vm="1">
        <f ca="1"/>
        <v>#VALUE!</v>
      </c>
    </row>
    <row r="15" spans="1:9">
      <c r="A15" s="10" t="e" vm="1">
        <f ca="1"/>
        <v>#VALUE!</v>
      </c>
      <c r="B15" s="10" t="e" vm="1">
        <f ca="1"/>
        <v>#VALUE!</v>
      </c>
      <c r="C15" s="10" t="e" vm="1">
        <f ca="1"/>
        <v>#VALUE!</v>
      </c>
      <c r="D15" s="10" t="e" vm="1">
        <f ca="1"/>
        <v>#VALUE!</v>
      </c>
      <c r="E15" s="11" t="e" vm="1">
        <f ca="1"/>
        <v>#VALUE!</v>
      </c>
      <c r="F15" s="11" t="e" vm="1">
        <f ca="1"/>
        <v>#VALUE!</v>
      </c>
    </row>
  </sheetData>
  <mergeCells count="2">
    <mergeCell ref="A8:F8"/>
    <mergeCell ref="A1:F1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AD37135-1A08-47A5-9870-85669AA22C02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" iconId="2"/>
            </x14:iconSet>
          </x14:cfRule>
          <xm:sqref>B5</xm:sqref>
        </x14:conditionalFormatting>
        <x14:conditionalFormatting xmlns:xm="http://schemas.microsoft.com/office/excel/2006/main">
          <x14:cfRule type="iconSet" priority="4" id="{B1DA2109-63E0-4C90-8081-3AFA4C815062}">
            <x14:iconSet iconSet="5Quarter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NoIcons" iconId="0"/>
              <x14:cfIcon iconSet="NoIcons" iconId="0"/>
              <x14:cfIcon iconSet="5Quarters" iconId="2"/>
            </x14:iconSet>
          </x14:cfRule>
          <xm:sqref>C5</xm:sqref>
        </x14:conditionalFormatting>
        <x14:conditionalFormatting xmlns:xm="http://schemas.microsoft.com/office/excel/2006/main">
          <x14:cfRule type="iconSet" priority="3" id="{DC0E8682-6C00-4C23-A4AC-F220B38BB6DF}">
            <x14:iconSet iconSet="5Quarter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NoIcons" iconId="0"/>
              <x14:cfIcon iconSet="NoIcons" iconId="0"/>
              <x14:cfIcon iconSet="5Quarters" iconId="0"/>
            </x14:iconSet>
          </x14:cfRule>
          <xm:sqref>D5</xm:sqref>
        </x14:conditionalFormatting>
        <x14:conditionalFormatting xmlns:xm="http://schemas.microsoft.com/office/excel/2006/main">
          <x14:cfRule type="iconSet" priority="2" id="{0ECF4079-00BA-48CA-ADDE-0C95FBBBE5F0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E5</xm:sqref>
        </x14:conditionalFormatting>
        <x14:conditionalFormatting xmlns:xm="http://schemas.microsoft.com/office/excel/2006/main">
          <x14:cfRule type="iconSet" priority="1" id="{97441840-53D2-40EB-AF5A-0E8D0CE66FE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TrafficLights1" iconId="1"/>
            </x14:iconSet>
          </x14:cfRule>
          <xm:sqref>F5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UserForm</vt:lpstr>
      <vt:lpstr>TaskList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Chamudi Senevirathna</dc:creator>
  <cp:lastModifiedBy>Chamudi Senevirathna</cp:lastModifiedBy>
  <dcterms:created xsi:type="dcterms:W3CDTF">2015-06-05T18:17:20Z</dcterms:created>
  <dcterms:modified xsi:type="dcterms:W3CDTF">2025-06-18T10:39:12Z</dcterms:modified>
</cp:coreProperties>
</file>